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<sst xmlns="http://schemas.openxmlformats.org/spreadsheetml/2006/main" count="29" uniqueCount="23">
  <si>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tons per person</t>
  </si>
  <si>
    <t xml:space="preserve">people per ton</t>
  </si>
  <si>
    <t xml:space="preserve">factory per 100k</t>
  </si>
  <si>
    <t xml:space="preserve">L</t>
  </si>
  <si>
    <t xml:space="preserve">Need</t>
  </si>
  <si>
    <t xml:space="preserve">CycleTime</t>
  </si>
  <si>
    <t xml:space="preserve">Amount</t>
  </si>
  <si>
    <t xml:space="preserve">Factories per 10k</t>
  </si>
  <si>
    <t xml:space="preserve">Mäntel</t>
  </si>
  <si>
    <t xml:space="preserve">Hummus</t>
  </si>
  <si>
    <t xml:space="preserve">Astrolabien</t>
  </si>
  <si>
    <t xml:space="preserve">Pocket Watches</t>
  </si>
  <si>
    <t xml:space="preserve">Lokum</t>
  </si>
  <si>
    <t xml:space="preserve">Steam Carriages</t>
  </si>
  <si>
    <t xml:space="preserve">Oudh</t>
  </si>
  <si>
    <t xml:space="preserve">Roasted Chickpeas</t>
  </si>
  <si>
    <t xml:space="preserve">Tea</t>
  </si>
  <si>
    <t xml:space="preserve">Dates</t>
  </si>
  <si>
    <t xml:space="preserve">Cigars</t>
  </si>
  <si>
    <t xml:space="preserve">Incense</t>
  </si>
  <si>
    <t xml:space="preserve">Ventilators</t>
  </si>
  <si>
    <t xml:space="preserve">Parka</t>
  </si>
  <si>
    <t xml:space="preserve">Arak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</si>
</sst>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F3F7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Inpu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3:Q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6.29"/>
    <col collapsed="false" customWidth="true" hidden="false" outlineLevel="0" max="3" min="3" style="0" width="10.05"/>
    <col collapsed="false" customWidth="true" hidden="false" outlineLevel="0" max="4" min="4" style="0" width="11.02"/>
    <col collapsed="false" customWidth="true" hidden="false" outlineLevel="0" max="5" min="5" style="0" width="15.44"/>
    <col collapsed="false" customWidth="true" hidden="false" outlineLevel="0" max="14" min="12" style="0" width="19.28"/>
    <col collapsed="false" customWidth="true" hidden="false" outlineLevel="0" max="15" min="15" style="1" width="19.28"/>
    <col collapsed="false" customWidth="true" hidden="false" outlineLevel="0" max="17" min="16" style="0" width="19.28"/>
  </cols>
  <sheetData>
    <row r="13" customFormat="false" ht="15" hidden="false" customHeight="false" outlineLevel="0" collapsed="false">
      <c r="L13" s="0" t="s">
        <v>0</v>
      </c>
      <c r="M13" s="0" t="s">
        <v>1</v>
      </c>
      <c r="N13" s="0" t="s">
        <v>2</v>
      </c>
      <c r="O13" s="1" t="s">
        <v>2</v>
      </c>
      <c r="P13" s="2" t="s">
        <v>1</v>
      </c>
      <c r="Q13" s="2" t="s">
        <v>0</v>
      </c>
    </row>
    <row r="14" customFormat="false" ht="15" hidden="false" customHeight="false" outlineLevel="0" collapsed="false">
      <c r="L14" s="0" t="n">
        <v>0.00125</v>
      </c>
      <c r="M14" s="0" t="n">
        <f aca="false">1/L14</f>
        <v>800</v>
      </c>
      <c r="N14" s="0" t="n">
        <v>375</v>
      </c>
      <c r="O14" s="1" t="n">
        <v>375</v>
      </c>
      <c r="P14" s="2" t="n">
        <f aca="false">(M14/N14)*O14</f>
        <v>800</v>
      </c>
      <c r="Q14" s="2" t="n">
        <f aca="false">1/P14</f>
        <v>0.00125</v>
      </c>
    </row>
    <row r="15" customFormat="false" ht="15" hidden="false" customHeight="false" outlineLevel="0" collapsed="false">
      <c r="K15" s="0" t="s">
        <v>3</v>
      </c>
      <c r="L15" s="0" t="n">
        <v>0.001</v>
      </c>
      <c r="M15" s="0" t="n">
        <f aca="false">1/L15</f>
        <v>1000</v>
      </c>
      <c r="N15" s="0" t="n">
        <v>300</v>
      </c>
      <c r="O15" s="1" t="n">
        <v>300</v>
      </c>
      <c r="P15" s="2" t="n">
        <f aca="false">(M15/O15)*N15</f>
        <v>1000</v>
      </c>
      <c r="Q15" s="2" t="n">
        <f aca="false">1/P15</f>
        <v>0.001</v>
      </c>
    </row>
    <row r="16" customFormat="false" ht="15" hidden="false" customHeight="false" outlineLevel="0" collapsed="false">
      <c r="L16" s="0" t="n">
        <v>0.000952381</v>
      </c>
      <c r="M16" s="0" t="n">
        <f aca="false">1/L16</f>
        <v>1049.9999475</v>
      </c>
      <c r="N16" s="0" t="n">
        <v>288</v>
      </c>
      <c r="O16" s="1" t="n">
        <v>288</v>
      </c>
      <c r="P16" s="0" t="n">
        <v>1050</v>
      </c>
      <c r="Q16" s="2" t="n">
        <f aca="false">1/P16</f>
        <v>0.000952380952380952</v>
      </c>
    </row>
    <row r="17" s="3" customFormat="true" ht="15" hidden="false" customHeight="false" outlineLevel="0" collapsed="false">
      <c r="K17" s="3" t="s">
        <v>3</v>
      </c>
      <c r="L17" s="3" t="n">
        <v>0.000909091</v>
      </c>
      <c r="M17" s="3" t="n">
        <f aca="false">1/L17</f>
        <v>1099.99989000001</v>
      </c>
      <c r="N17" s="3" t="n">
        <v>270</v>
      </c>
      <c r="O17" s="1" t="n">
        <v>270</v>
      </c>
      <c r="P17" s="3" t="n">
        <v>1100</v>
      </c>
      <c r="Q17" s="3" t="n">
        <f aca="false">1/P17</f>
        <v>0.000909090909090909</v>
      </c>
    </row>
    <row r="18" customFormat="false" ht="15" hidden="false" customHeight="false" outlineLevel="0" collapsed="false">
      <c r="L18" s="0" t="n">
        <v>0.000869565</v>
      </c>
      <c r="M18" s="0" t="n">
        <f aca="false">1/L18</f>
        <v>1150.00028750007</v>
      </c>
      <c r="N18" s="4" t="n">
        <v>267</v>
      </c>
      <c r="O18" s="1" t="n">
        <v>270</v>
      </c>
      <c r="P18" s="0" t="n">
        <v>1150</v>
      </c>
      <c r="Q18" s="2" t="n">
        <f aca="false">1/P18</f>
        <v>0.000869565217391304</v>
      </c>
    </row>
    <row r="19" customFormat="false" ht="15" hidden="false" customHeight="false" outlineLevel="0" collapsed="false">
      <c r="K19" s="0" t="s">
        <v>3</v>
      </c>
      <c r="L19" s="0" t="n">
        <v>0.000900901</v>
      </c>
      <c r="M19" s="0" t="n">
        <f aca="false">1/L19</f>
        <v>1109.99987790001</v>
      </c>
      <c r="N19" s="4" t="n">
        <v>265</v>
      </c>
      <c r="O19" s="1" t="n">
        <v>260</v>
      </c>
      <c r="P19" s="0" t="n">
        <v>1110</v>
      </c>
      <c r="Q19" s="2" t="n">
        <f aca="false">1/P19</f>
        <v>0.000900900900900901</v>
      </c>
    </row>
    <row r="20" customFormat="false" ht="15" hidden="false" customHeight="false" outlineLevel="0" collapsed="false">
      <c r="L20" s="0" t="n">
        <v>0.000909091</v>
      </c>
      <c r="M20" s="0" t="n">
        <f aca="false">1/L20</f>
        <v>1099.99989000001</v>
      </c>
      <c r="N20" s="4" t="n">
        <v>261</v>
      </c>
      <c r="O20" s="1" t="n">
        <v>250</v>
      </c>
      <c r="P20" s="0" t="n">
        <v>1100</v>
      </c>
      <c r="Q20" s="2" t="n">
        <f aca="false">1/P20</f>
        <v>0.000909090909090909</v>
      </c>
    </row>
    <row r="21" customFormat="false" ht="15" hidden="false" customHeight="false" outlineLevel="0" collapsed="false">
      <c r="L21" s="0" t="n">
        <v>0.0008</v>
      </c>
      <c r="M21" s="0" t="n">
        <f aca="false">1/L21</f>
        <v>1250</v>
      </c>
      <c r="N21" s="4" t="n">
        <v>240</v>
      </c>
      <c r="O21" s="1" t="n">
        <v>240</v>
      </c>
      <c r="P21" s="2" t="n">
        <f aca="false">(M21/N21)*O21</f>
        <v>1250</v>
      </c>
      <c r="Q21" s="2" t="n">
        <f aca="false">1/P21</f>
        <v>0.0008</v>
      </c>
    </row>
    <row r="22" customFormat="false" ht="15" hidden="false" customHeight="false" outlineLevel="0" collapsed="false">
      <c r="B22" s="0" t="s">
        <v>4</v>
      </c>
      <c r="C22" s="0" t="s">
        <v>5</v>
      </c>
      <c r="D22" s="0" t="s">
        <v>6</v>
      </c>
      <c r="E22" s="0" t="s">
        <v>7</v>
      </c>
      <c r="L22" s="0" t="n">
        <v>0.000769231</v>
      </c>
      <c r="M22" s="0" t="n">
        <f aca="false">1/L22</f>
        <v>1299.99961000012</v>
      </c>
      <c r="N22" s="4" t="n">
        <v>210</v>
      </c>
      <c r="O22" s="1" t="n">
        <v>190</v>
      </c>
      <c r="P22" s="0" t="n">
        <v>1300</v>
      </c>
      <c r="Q22" s="2" t="n">
        <f aca="false">1/P22</f>
        <v>0.000769230769230769</v>
      </c>
    </row>
    <row r="23" customFormat="false" ht="15.65" hidden="false" customHeight="true" outlineLevel="0" collapsed="false">
      <c r="B23" s="0" t="s">
        <v>8</v>
      </c>
      <c r="C23" s="5" t="n">
        <v>30</v>
      </c>
      <c r="D23" s="6" t="n">
        <v>0.000444444</v>
      </c>
      <c r="E23" s="0" t="n">
        <f aca="false">(D23*60*10000)/(60/C23)</f>
        <v>133.3332</v>
      </c>
      <c r="L23" s="0" t="n">
        <v>0.000588235</v>
      </c>
      <c r="M23" s="0" t="n">
        <f aca="false">1/L23</f>
        <v>1700.00085000043</v>
      </c>
      <c r="N23" s="4" t="n">
        <v>180</v>
      </c>
      <c r="O23" s="1" t="n">
        <v>180</v>
      </c>
      <c r="P23" s="0" t="n">
        <v>1700</v>
      </c>
      <c r="Q23" s="2" t="n">
        <f aca="false">1/P23</f>
        <v>0.000588235294117647</v>
      </c>
    </row>
    <row r="24" customFormat="false" ht="15" hidden="false" customHeight="false" outlineLevel="0" collapsed="false">
      <c r="B24" s="0" t="s">
        <v>9</v>
      </c>
      <c r="C24" s="0" t="n">
        <v>60</v>
      </c>
      <c r="D24" s="0" t="n">
        <v>0.00013</v>
      </c>
      <c r="E24" s="0" t="n">
        <f aca="false">(D24*60*10000)/(60/C24)</f>
        <v>78</v>
      </c>
      <c r="K24" s="0" t="s">
        <v>3</v>
      </c>
      <c r="L24" s="0" t="n">
        <v>0.0004</v>
      </c>
      <c r="M24" s="0" t="n">
        <f aca="false">1/L24</f>
        <v>2500</v>
      </c>
      <c r="N24" s="4" t="n">
        <v>120</v>
      </c>
      <c r="O24" s="1" t="n">
        <v>120</v>
      </c>
      <c r="P24" s="2" t="n">
        <f aca="false">(M24/N24)*O24</f>
        <v>2500</v>
      </c>
      <c r="Q24" s="2" t="n">
        <f aca="false">1/P24</f>
        <v>0.0004</v>
      </c>
    </row>
    <row r="25" customFormat="false" ht="15" hidden="false" customHeight="false" outlineLevel="0" collapsed="false">
      <c r="B25" s="0" t="s">
        <v>10</v>
      </c>
      <c r="C25" s="0" t="n">
        <v>45</v>
      </c>
      <c r="D25" s="0" t="n">
        <v>0.00013</v>
      </c>
      <c r="E25" s="0" t="n">
        <f aca="false">(D25*60*10000)/(60/C25)</f>
        <v>58.5</v>
      </c>
      <c r="L25" s="0" t="n">
        <v>0.0002</v>
      </c>
      <c r="M25" s="0" t="n">
        <f aca="false">1/L25</f>
        <v>5000</v>
      </c>
      <c r="N25" s="4" t="n">
        <v>60</v>
      </c>
      <c r="O25" s="1" t="n">
        <v>60</v>
      </c>
      <c r="P25" s="2" t="n">
        <f aca="false">(M25/N25)*O25</f>
        <v>5000</v>
      </c>
      <c r="Q25" s="2" t="n">
        <f aca="false">1/P25</f>
        <v>0.0002</v>
      </c>
    </row>
    <row r="26" customFormat="false" ht="15" hidden="false" customHeight="false" outlineLevel="0" collapsed="false">
      <c r="B26" s="0" t="s">
        <v>11</v>
      </c>
      <c r="C26" s="0" t="n">
        <v>45</v>
      </c>
      <c r="D26" s="0" t="n">
        <v>0.00013</v>
      </c>
      <c r="E26" s="0" t="n">
        <f aca="false">(D26*60*10000)/(60/C26)</f>
        <v>58.5</v>
      </c>
    </row>
    <row r="27" customFormat="false" ht="15" hidden="false" customHeight="false" outlineLevel="0" collapsed="false">
      <c r="B27" s="0" t="s">
        <v>12</v>
      </c>
      <c r="C27" s="0" t="n">
        <v>30</v>
      </c>
      <c r="D27" s="0" t="n">
        <v>0.000142</v>
      </c>
      <c r="E27" s="0" t="n">
        <f aca="false">(D27*60*10000)/(60/C27)</f>
        <v>42.6</v>
      </c>
    </row>
    <row r="28" customFormat="false" ht="15" hidden="false" customHeight="false" outlineLevel="0" collapsed="false">
      <c r="B28" s="0" t="s">
        <v>13</v>
      </c>
      <c r="C28" s="0" t="n">
        <v>30</v>
      </c>
      <c r="D28" s="0" t="n">
        <v>0.0001111</v>
      </c>
      <c r="E28" s="0" t="n">
        <f aca="false">(D28*60*10000)/(60/C28)</f>
        <v>33.33</v>
      </c>
    </row>
    <row r="29" customFormat="false" ht="15" hidden="false" customHeight="false" outlineLevel="0" collapsed="false">
      <c r="B29" s="0" t="s">
        <v>14</v>
      </c>
      <c r="C29" s="0" t="n">
        <v>60</v>
      </c>
      <c r="D29" s="0" t="n">
        <v>4E-005</v>
      </c>
      <c r="E29" s="0" t="n">
        <f aca="false">(D29*60*10000)/(60/C29)</f>
        <v>24</v>
      </c>
    </row>
    <row r="30" customFormat="false" ht="15" hidden="false" customHeight="false" outlineLevel="0" collapsed="false">
      <c r="B30" s="0" t="s">
        <v>15</v>
      </c>
      <c r="C30" s="0" t="n">
        <v>60</v>
      </c>
      <c r="D30" s="0" t="n">
        <v>0.0003</v>
      </c>
      <c r="E30" s="0" t="n">
        <f aca="false">(D30*60*10000)/(60/C30)</f>
        <v>180</v>
      </c>
    </row>
    <row r="31" customFormat="false" ht="15" hidden="false" customHeight="false" outlineLevel="0" collapsed="false">
      <c r="B31" s="0" t="s">
        <v>16</v>
      </c>
      <c r="C31" s="0" t="n">
        <v>90</v>
      </c>
      <c r="D31" s="0" t="n">
        <v>0.0002</v>
      </c>
      <c r="E31" s="0" t="n">
        <f aca="false">(D31*60*10000)/(60/C31)</f>
        <v>180</v>
      </c>
    </row>
    <row r="32" customFormat="false" ht="15" hidden="false" customHeight="false" outlineLevel="0" collapsed="false">
      <c r="B32" s="0" t="s">
        <v>17</v>
      </c>
      <c r="C32" s="0" t="n">
        <v>30</v>
      </c>
      <c r="D32" s="0" t="n">
        <v>0.00015</v>
      </c>
      <c r="E32" s="0" t="n">
        <f aca="false">(D32*60*10000)/(60/C32)</f>
        <v>45</v>
      </c>
    </row>
    <row r="33" customFormat="false" ht="15" hidden="false" customHeight="false" outlineLevel="0" collapsed="false">
      <c r="B33" s="0" t="s">
        <v>18</v>
      </c>
      <c r="C33" s="0" t="n">
        <v>30</v>
      </c>
      <c r="D33" s="0" t="n">
        <v>0.000185</v>
      </c>
      <c r="E33" s="0" t="n">
        <f aca="false">(D33*60*10000)/(60/C33)</f>
        <v>55.5</v>
      </c>
    </row>
    <row r="34" customFormat="false" ht="15" hidden="false" customHeight="false" outlineLevel="0" collapsed="false">
      <c r="B34" s="0" t="s">
        <v>19</v>
      </c>
      <c r="C34" s="0" t="n">
        <v>60</v>
      </c>
      <c r="D34" s="0" t="n">
        <v>3E-005</v>
      </c>
      <c r="E34" s="0" t="n">
        <f aca="false">(D34*60*10000)/(60/C34)</f>
        <v>18</v>
      </c>
    </row>
    <row r="35" customFormat="false" ht="15" hidden="false" customHeight="false" outlineLevel="0" collapsed="false">
      <c r="B35" s="0" t="s">
        <v>20</v>
      </c>
      <c r="C35" s="0" t="n">
        <v>30</v>
      </c>
      <c r="D35" s="0" t="n">
        <v>5.2E-005</v>
      </c>
      <c r="E35" s="0" t="n">
        <f aca="false">(D35*60*10000)/(60/C35)</f>
        <v>15.6</v>
      </c>
    </row>
    <row r="36" customFormat="false" ht="15" hidden="false" customHeight="false" outlineLevel="0" collapsed="false">
      <c r="B36" s="0" t="s">
        <v>21</v>
      </c>
      <c r="C36" s="0" t="n">
        <v>90</v>
      </c>
      <c r="D36" s="0" t="n">
        <v>0.0004</v>
      </c>
      <c r="E36" s="0" t="n">
        <f aca="false">(D36*60*10000)/(60/C36)</f>
        <v>360</v>
      </c>
    </row>
    <row r="37" customFormat="false" ht="15" hidden="false" customHeight="false" outlineLevel="0" collapsed="false">
      <c r="B37" s="0" t="s">
        <v>22</v>
      </c>
      <c r="C37" s="0" t="n">
        <v>120</v>
      </c>
      <c r="D37" s="0" t="n">
        <v>0.0003</v>
      </c>
      <c r="E37" s="0" t="n">
        <f aca="false">(D37*60*10000)/(60/C37)</f>
        <v>360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2026-07-22T20:05:33Z</dcterms:created>
  <dc:creator>Max Kästner</dc:creator>
  <dc:description/>
  <dc:language>de-DE</dc:language>
  <cp:lastModifiedBy/>
  <dcterms:modified xsi:type="dcterms:W3CDTF">2026-10-22T19:46:26Z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