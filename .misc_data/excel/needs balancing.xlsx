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x\Documents\Anno 1800\mods\[Addon] Return to the Orient\.misc_data\excel\"/>
    </mc:Choice>
  </mc:AlternateContent>
  <xr:revisionPtr revIDLastSave="0" documentId="13_ncr:1_{B0F8EE92-4F2C-40A3-AB0D-52AD752017A8}" xr6:coauthVersionLast="47" xr6:coauthVersionMax="47" xr10:uidLastSave="{00000000-0000-0000-0000-000000000000}"/>
  <bookViews>
    <workbookView xWindow="-120" yWindow="-120" windowWidth="38640" windowHeight="21120" xr2:uid="{12EAB67D-CDD1-44B7-92BC-0BABBADFCF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8" i="1" l="1"/>
  <c r="M17" i="1"/>
  <c r="M16" i="1"/>
  <c r="M14" i="1"/>
  <c r="P14" i="1" s="1"/>
  <c r="Q14" i="1" s="1"/>
  <c r="Q16" i="1"/>
  <c r="Q17" i="1"/>
  <c r="Q18" i="1"/>
  <c r="Q19" i="1"/>
  <c r="Q20" i="1"/>
  <c r="Q22" i="1"/>
  <c r="Q23" i="1"/>
  <c r="M19" i="1"/>
  <c r="M20" i="1"/>
  <c r="M21" i="1"/>
  <c r="P21" i="1" s="1"/>
  <c r="Q21" i="1" s="1"/>
  <c r="M22" i="1"/>
  <c r="M23" i="1"/>
  <c r="M24" i="1"/>
  <c r="P24" i="1" s="1"/>
  <c r="Q24" i="1" s="1"/>
  <c r="M25" i="1"/>
  <c r="P25" i="1" s="1"/>
  <c r="Q25" i="1" s="1"/>
  <c r="M15" i="1"/>
  <c r="P15" i="1" s="1"/>
  <c r="Q15" i="1" s="1"/>
</calcChain>
</file>

<file path=xl/sharedStrings.xml><?xml version="1.0" encoding="utf-8"?>
<sst xmlns="http://schemas.openxmlformats.org/spreadsheetml/2006/main" count="10" uniqueCount="4">
  <si>
    <t>L</t>
  </si>
  <si>
    <t>people per ton</t>
  </si>
  <si>
    <t>tons per person</t>
  </si>
  <si>
    <t>factory per 100k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</si>
</sst>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4">
    <xf numFmtId="0" fontId="0" fillId="0" borderId="0" xfId="0"/>
    <xf numFmtId="0" fontId="0" fillId="0" borderId="2" xfId="0" applyBorder="1"/>
    <xf numFmtId="0" fontId="1" fillId="2" borderId="1" xfId="1"/>
    <xf numFmtId="0" fontId="0" fillId="0" borderId="0" xfId="0" applyFill="1" applyBorder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D8702-6398-423D-B8FB-119ED675B91F}">
  <dimension ref="K13:S25"/>
  <sheetViews>
    <sheetView tabSelected="1" topLeftCell="A4" workbookViewId="0">
      <selection activeCell="L24" sqref="L24"/>
    </sheetView>
  </sheetViews>
  <sheetFormatPr defaultRowHeight="15" x14ac:dyDescent="0.25"/>
  <cols>
    <col min="12" max="14" width="19.28515625" customWidth="1"/>
    <col min="15" max="15" width="19.28515625" style="2" customWidth="1"/>
    <col min="16" max="17" width="19.28515625" customWidth="1"/>
  </cols>
  <sheetData>
    <row r="13" spans="11:17" x14ac:dyDescent="0.25">
      <c r="L13" t="s">
        <v>2</v>
      </c>
      <c r="M13" t="s">
        <v>1</v>
      </c>
      <c r="N13" t="s">
        <v>3</v>
      </c>
      <c r="O13" s="2" t="s">
        <v>3</v>
      </c>
      <c r="P13" t="s">
        <v>1</v>
      </c>
      <c r="Q13" t="s">
        <v>2</v>
      </c>
    </row>
    <row r="14" spans="11:17" x14ac:dyDescent="0.25">
      <c r="L14">
        <v>1.25E-3</v>
      </c>
      <c r="M14">
        <f>1/L14</f>
        <v>800</v>
      </c>
      <c r="N14">
        <v>375</v>
      </c>
      <c r="O14" s="2">
        <v>375</v>
      </c>
      <c r="P14">
        <f>(M14/N14)*O14</f>
        <v>800</v>
      </c>
      <c r="Q14">
        <f>1/P14</f>
        <v>1.25E-3</v>
      </c>
    </row>
    <row r="15" spans="11:17" x14ac:dyDescent="0.25">
      <c r="K15" t="s">
        <v>0</v>
      </c>
      <c r="L15">
        <v>1E-3</v>
      </c>
      <c r="M15">
        <f t="shared" ref="M15:M25" si="0">1/L15</f>
        <v>1000</v>
      </c>
      <c r="N15">
        <v>300</v>
      </c>
      <c r="O15" s="2">
        <v>300</v>
      </c>
      <c r="P15">
        <f>(M15/O15)*N15</f>
        <v>1000</v>
      </c>
      <c r="Q15">
        <f t="shared" ref="Q15:Q25" si="1">1/P15</f>
        <v>1E-3</v>
      </c>
    </row>
    <row r="16" spans="11:17" x14ac:dyDescent="0.25">
      <c r="L16">
        <v>9.5238099999999997E-4</v>
      </c>
      <c r="M16">
        <f t="shared" si="0"/>
        <v>1049.9999475000027</v>
      </c>
      <c r="N16">
        <v>288</v>
      </c>
      <c r="O16" s="2">
        <v>288</v>
      </c>
      <c r="P16">
        <v>1050</v>
      </c>
      <c r="Q16">
        <f t="shared" si="1"/>
        <v>9.5238095238095238E-4</v>
      </c>
    </row>
    <row r="17" spans="11:19" s="1" customFormat="1" x14ac:dyDescent="0.25">
      <c r="K17" s="1" t="s">
        <v>0</v>
      </c>
      <c r="L17" s="1">
        <v>9.09091E-4</v>
      </c>
      <c r="M17" s="1">
        <f t="shared" si="0"/>
        <v>1099.999890000011</v>
      </c>
      <c r="N17" s="1">
        <v>270</v>
      </c>
      <c r="O17" s="2">
        <v>270</v>
      </c>
      <c r="P17">
        <v>1100</v>
      </c>
      <c r="Q17">
        <f t="shared" si="1"/>
        <v>9.0909090909090909E-4</v>
      </c>
      <c r="S17"/>
    </row>
    <row r="18" spans="11:19" x14ac:dyDescent="0.25">
      <c r="L18">
        <v>8.6956499999999999E-4</v>
      </c>
      <c r="M18">
        <f t="shared" si="0"/>
        <v>1150.0002875000719</v>
      </c>
      <c r="N18" s="3">
        <v>267</v>
      </c>
      <c r="O18" s="2">
        <v>270</v>
      </c>
      <c r="P18">
        <v>1150</v>
      </c>
      <c r="Q18">
        <f t="shared" si="1"/>
        <v>8.6956521739130438E-4</v>
      </c>
    </row>
    <row r="19" spans="11:19" x14ac:dyDescent="0.25">
      <c r="K19" t="s">
        <v>0</v>
      </c>
      <c r="L19">
        <v>9.0090099999999996E-4</v>
      </c>
      <c r="M19">
        <f t="shared" si="0"/>
        <v>1109.9998779000134</v>
      </c>
      <c r="N19" s="3">
        <v>265</v>
      </c>
      <c r="O19" s="2">
        <v>260</v>
      </c>
      <c r="P19">
        <v>1110</v>
      </c>
      <c r="Q19">
        <f t="shared" si="1"/>
        <v>9.0090090090090091E-4</v>
      </c>
    </row>
    <row r="20" spans="11:19" x14ac:dyDescent="0.25">
      <c r="L20">
        <v>9.09091E-4</v>
      </c>
      <c r="M20">
        <f t="shared" si="0"/>
        <v>1099.999890000011</v>
      </c>
      <c r="N20" s="3">
        <v>261</v>
      </c>
      <c r="O20" s="2">
        <v>250</v>
      </c>
      <c r="P20">
        <v>1100</v>
      </c>
      <c r="Q20">
        <f t="shared" si="1"/>
        <v>9.0909090909090909E-4</v>
      </c>
    </row>
    <row r="21" spans="11:19" x14ac:dyDescent="0.25">
      <c r="L21">
        <v>8.0000000000000004E-4</v>
      </c>
      <c r="M21">
        <f t="shared" si="0"/>
        <v>1250</v>
      </c>
      <c r="N21" s="3">
        <v>240</v>
      </c>
      <c r="O21" s="2">
        <v>240</v>
      </c>
      <c r="P21">
        <f t="shared" ref="P16:P25" si="2">(M21/N21)*O21</f>
        <v>1250</v>
      </c>
      <c r="Q21">
        <f t="shared" si="1"/>
        <v>8.0000000000000004E-4</v>
      </c>
    </row>
    <row r="22" spans="11:19" x14ac:dyDescent="0.25">
      <c r="L22">
        <v>7.6923099999999999E-4</v>
      </c>
      <c r="M22">
        <f t="shared" si="0"/>
        <v>1299.9996100001169</v>
      </c>
      <c r="N22" s="3">
        <v>210</v>
      </c>
      <c r="O22" s="2">
        <v>190</v>
      </c>
      <c r="P22">
        <v>1300</v>
      </c>
      <c r="Q22">
        <f t="shared" si="1"/>
        <v>7.6923076923076923E-4</v>
      </c>
    </row>
    <row r="23" spans="11:19" x14ac:dyDescent="0.25">
      <c r="L23">
        <v>5.8823499999999999E-4</v>
      </c>
      <c r="M23">
        <f t="shared" si="0"/>
        <v>1700.0008500004251</v>
      </c>
      <c r="N23" s="3">
        <v>180</v>
      </c>
      <c r="O23" s="2">
        <v>180</v>
      </c>
      <c r="P23">
        <v>1700</v>
      </c>
      <c r="Q23">
        <f t="shared" si="1"/>
        <v>5.8823529411764701E-4</v>
      </c>
    </row>
    <row r="24" spans="11:19" x14ac:dyDescent="0.25">
      <c r="K24" t="s">
        <v>0</v>
      </c>
      <c r="L24">
        <v>4.0000000000000002E-4</v>
      </c>
      <c r="M24">
        <f t="shared" si="0"/>
        <v>2500</v>
      </c>
      <c r="N24" s="3">
        <v>120</v>
      </c>
      <c r="O24" s="2">
        <v>120</v>
      </c>
      <c r="P24">
        <f t="shared" si="2"/>
        <v>2500</v>
      </c>
      <c r="Q24">
        <f t="shared" si="1"/>
        <v>4.0000000000000002E-4</v>
      </c>
    </row>
    <row r="25" spans="11:19" x14ac:dyDescent="0.25">
      <c r="L25">
        <v>2.0000000000000001E-4</v>
      </c>
      <c r="M25">
        <f t="shared" si="0"/>
        <v>5000</v>
      </c>
      <c r="N25" s="3">
        <v>60</v>
      </c>
      <c r="O25" s="2">
        <v>60</v>
      </c>
      <c r="P25">
        <f t="shared" si="2"/>
        <v>5000</v>
      </c>
      <c r="Q25">
        <f t="shared" si="1"/>
        <v>2.0000000000000001E-4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Kästner</dc:creator>
  <cp:lastModifiedBy>Max Kästner</cp:lastModifiedBy>
  <dcterms:created xsi:type="dcterms:W3CDTF">2026-07-22T20:05:33Z</dcterms:created>
  <dcterms:modified xsi:type="dcterms:W3CDTF">2026-07-22T21:41:51Z</dcterms:modified>
</cp:coreProperties>
</file>